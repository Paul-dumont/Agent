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<sst xmlns="http://schemas.openxmlformats.org/spreadsheetml/2006/main" count="109" uniqueCount="35">
  <si>
    <t xml:space="preserve">metric</t>
  </si>
  <si>
    <t xml:space="preserve">Deepseek-r1 (70B)</t>
  </si>
  <si>
    <t xml:space="preserve">Gemma3 (12B)</t>
  </si>
  <si>
    <t xml:space="preserve">GPT-OSS (120B)</t>
  </si>
  <si>
    <r>
      <rPr>
        <b val="true"/>
        <sz val="11"/>
        <rFont val="Cambria"/>
        <family val="0"/>
        <charset val="1"/>
      </rPr>
      <t xml:space="preserve">Llama3.2 </t>
    </r>
    <r>
      <rPr>
        <b val="true"/>
        <sz val="11"/>
        <rFont val="Cambria"/>
        <family val="0"/>
      </rPr>
      <t xml:space="preserve">(3B)</t>
    </r>
  </si>
  <si>
    <r>
      <rPr>
        <b val="true"/>
        <sz val="11"/>
        <rFont val="Cambria"/>
        <family val="0"/>
        <charset val="1"/>
      </rPr>
      <t xml:space="preserve">Mistral-nemo </t>
    </r>
    <r>
      <rPr>
        <b val="true"/>
        <sz val="11"/>
        <rFont val="Cambria"/>
        <family val="0"/>
      </rPr>
      <t xml:space="preserve">(12B)</t>
    </r>
  </si>
  <si>
    <r>
      <rPr>
        <b val="true"/>
        <sz val="11"/>
        <rFont val="Cambria"/>
        <family val="0"/>
        <charset val="1"/>
      </rPr>
      <t xml:space="preserve">Nemotron-mini </t>
    </r>
    <r>
      <rPr>
        <b val="true"/>
        <sz val="11"/>
        <rFont val="Cambria"/>
        <family val="0"/>
      </rPr>
      <t xml:space="preserve">(4B)</t>
    </r>
  </si>
  <si>
    <r>
      <rPr>
        <b val="true"/>
        <sz val="11"/>
        <rFont val="Cambria"/>
        <family val="0"/>
        <charset val="1"/>
      </rPr>
      <t xml:space="preserve">Phi4 </t>
    </r>
    <r>
      <rPr>
        <b val="true"/>
        <sz val="11"/>
        <rFont val="Cambria"/>
        <family val="0"/>
      </rPr>
      <t xml:space="preserve">(14B)</t>
    </r>
  </si>
  <si>
    <r>
      <rPr>
        <b val="true"/>
        <sz val="11"/>
        <rFont val="Cambria"/>
        <family val="0"/>
        <charset val="1"/>
      </rPr>
      <t xml:space="preserve">Qwen3 </t>
    </r>
    <r>
      <rPr>
        <b val="true"/>
        <sz val="11"/>
        <rFont val="Cambria"/>
        <family val="0"/>
      </rPr>
      <t xml:space="preserve">(8B)</t>
    </r>
  </si>
  <si>
    <t xml:space="preserve">beginners</t>
  </si>
  <si>
    <t xml:space="preserve">avg_param_accuracy</t>
  </si>
  <si>
    <t xml:space="preserve">avg_tool_selection</t>
  </si>
  <si>
    <t xml:space="preserve">combined_perfect</t>
  </si>
  <si>
    <t xml:space="preserve">latency_mean</t>
  </si>
  <si>
    <t xml:space="preserve">param_extraction_perfect</t>
  </si>
  <si>
    <t xml:space="preserve">total_tests</t>
  </si>
  <si>
    <t xml:space="preserve"> </t>
  </si>
  <si>
    <t xml:space="preserve">expert vocab</t>
  </si>
  <si>
    <t xml:space="preserve">french</t>
  </si>
  <si>
    <t xml:space="preserve">long</t>
  </si>
  <si>
    <t xml:space="preserve">missingparam</t>
  </si>
  <si>
    <t xml:space="preserve">normal vocab</t>
  </si>
  <si>
    <t xml:space="preserve">portuguese</t>
  </si>
  <si>
    <t xml:space="preserve">short</t>
  </si>
  <si>
    <t xml:space="preserve">spanish</t>
  </si>
  <si>
    <t xml:space="preserve">total</t>
  </si>
  <si>
    <t xml:space="preserve">average_total_tool</t>
  </si>
  <si>
    <t xml:space="preserve">average_total_param</t>
  </si>
  <si>
    <t xml:space="preserve">average_latency</t>
  </si>
  <si>
    <t xml:space="preserve">total_perfects</t>
  </si>
  <si>
    <t xml:space="preserve">average langue</t>
  </si>
  <si>
    <t xml:space="preserve">Tool Selection Accuracy</t>
  </si>
  <si>
    <t xml:space="preserve">Parameters Extraction Accuracy</t>
  </si>
  <si>
    <t xml:space="preserve">Mean latency</t>
  </si>
  <si>
    <t xml:space="preserve">Total_Sucess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</si>
</sst>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Cambria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G66" activeCellId="0" sqref="G66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0.52"/>
    <col collapsed="false" customWidth="true" hidden="false" outlineLevel="0" max="2" min="2" style="0" width="27.01"/>
    <col collapsed="false" customWidth="true" hidden="false" outlineLevel="0" max="3" min="3" style="0" width="18.19"/>
    <col collapsed="false" customWidth="true" hidden="false" outlineLevel="0" max="4" min="4" style="0" width="15.76"/>
    <col collapsed="false" customWidth="true" hidden="false" outlineLevel="0" max="5" min="5" style="0" width="17.19"/>
    <col collapsed="false" customWidth="true" hidden="false" outlineLevel="0" max="6" min="6" style="0" width="15.26"/>
    <col collapsed="false" customWidth="true" hidden="false" outlineLevel="0" max="7" min="7" style="0" width="19.78"/>
    <col collapsed="false" customWidth="true" hidden="false" outlineLevel="0" max="8" min="8" style="0" width="21.32"/>
    <col collapsed="false" customWidth="true" hidden="false" outlineLevel="0" max="9" min="9" style="0" width="11.29"/>
    <col collapsed="false" customWidth="true" hidden="false" outlineLevel="0" max="10" min="10" style="0" width="13.17"/>
  </cols>
  <sheetData>
    <row r="1" customFormat="false" ht="14.9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3.8" hidden="false" customHeight="false" outlineLevel="0" collapsed="false">
      <c r="A2" s="1" t="s">
        <v>9</v>
      </c>
      <c r="B2" s="1" t="s">
        <v>10</v>
      </c>
      <c r="C2" s="0" t="n">
        <v>0.743</v>
      </c>
      <c r="D2" s="0" t="n">
        <v>0.748</v>
      </c>
      <c r="E2" s="0" t="n">
        <v>0.765</v>
      </c>
      <c r="F2" s="0" t="n">
        <v>0</v>
      </c>
      <c r="G2" s="0" t="n">
        <v>0.576</v>
      </c>
      <c r="H2" s="0" t="n">
        <v>0</v>
      </c>
      <c r="I2" s="0" t="n">
        <v>0.697</v>
      </c>
      <c r="J2" s="0" t="n">
        <v>0.792</v>
      </c>
    </row>
    <row r="3" customFormat="false" ht="13.8" hidden="false" customHeight="false" outlineLevel="0" collapsed="false">
      <c r="A3" s="1"/>
      <c r="B3" s="1" t="s">
        <v>11</v>
      </c>
      <c r="C3" s="0" t="n">
        <v>0.891</v>
      </c>
      <c r="D3" s="0" t="n">
        <v>0.87</v>
      </c>
      <c r="E3" s="0" t="n">
        <v>0.87</v>
      </c>
      <c r="F3" s="0" t="n">
        <v>0.783</v>
      </c>
      <c r="G3" s="0" t="n">
        <v>0.717</v>
      </c>
      <c r="H3" s="0" t="n">
        <v>0.711</v>
      </c>
      <c r="I3" s="0" t="n">
        <v>0.87</v>
      </c>
      <c r="J3" s="0" t="n">
        <v>0.933</v>
      </c>
    </row>
    <row r="4" customFormat="false" ht="13.8" hidden="false" customHeight="false" outlineLevel="0" collapsed="false">
      <c r="A4" s="1"/>
      <c r="B4" s="1" t="s">
        <v>12</v>
      </c>
      <c r="C4" s="0" t="n">
        <v>20</v>
      </c>
      <c r="D4" s="0" t="n">
        <v>21</v>
      </c>
      <c r="E4" s="0" t="n">
        <v>20</v>
      </c>
      <c r="F4" s="0" t="n">
        <v>0</v>
      </c>
      <c r="G4" s="0" t="n">
        <v>16</v>
      </c>
      <c r="H4" s="0" t="n">
        <v>0</v>
      </c>
      <c r="I4" s="0" t="n">
        <v>20</v>
      </c>
      <c r="J4" s="0" t="n">
        <v>22</v>
      </c>
    </row>
    <row r="5" customFormat="false" ht="13.8" hidden="false" customHeight="false" outlineLevel="0" collapsed="false">
      <c r="A5" s="1"/>
      <c r="B5" s="1" t="s">
        <v>13</v>
      </c>
      <c r="C5" s="0" t="n">
        <v>51.104</v>
      </c>
      <c r="D5" s="0" t="n">
        <v>3.903</v>
      </c>
      <c r="E5" s="0" t="n">
        <v>41.128</v>
      </c>
      <c r="F5" s="0" t="n">
        <v>1.396</v>
      </c>
      <c r="G5" s="0" t="n">
        <v>2.724</v>
      </c>
      <c r="H5" s="0" t="n">
        <v>1.861</v>
      </c>
      <c r="I5" s="0" t="n">
        <v>4.189</v>
      </c>
      <c r="J5" s="0" t="n">
        <v>12.852</v>
      </c>
    </row>
    <row r="6" customFormat="false" ht="13.8" hidden="false" customHeight="false" outlineLevel="0" collapsed="false">
      <c r="A6" s="1"/>
      <c r="B6" s="1" t="s">
        <v>14</v>
      </c>
      <c r="C6" s="0" t="n">
        <v>20</v>
      </c>
      <c r="D6" s="0" t="n">
        <v>21</v>
      </c>
      <c r="E6" s="0" t="n">
        <v>20</v>
      </c>
      <c r="F6" s="0" t="n">
        <v>0</v>
      </c>
      <c r="G6" s="0" t="n">
        <v>16</v>
      </c>
      <c r="H6" s="0" t="n">
        <v>0</v>
      </c>
      <c r="I6" s="0" t="n">
        <v>20</v>
      </c>
      <c r="J6" s="0" t="n">
        <v>22</v>
      </c>
    </row>
    <row r="7" customFormat="false" ht="13.8" hidden="false" customHeight="false" outlineLevel="0" collapsed="false">
      <c r="A7" s="1"/>
      <c r="B7" s="1" t="s">
        <v>15</v>
      </c>
      <c r="C7" s="0" t="n">
        <v>46</v>
      </c>
      <c r="D7" s="0" t="n">
        <v>46</v>
      </c>
      <c r="E7" s="0" t="n">
        <v>46</v>
      </c>
      <c r="F7" s="0" t="n">
        <v>46</v>
      </c>
      <c r="G7" s="0" t="n">
        <v>46</v>
      </c>
      <c r="H7" s="0" t="n">
        <v>46</v>
      </c>
      <c r="I7" s="0" t="n">
        <v>46</v>
      </c>
      <c r="J7" s="0" t="n">
        <v>46</v>
      </c>
    </row>
    <row r="8" customFormat="false" ht="13.8" hidden="false" customHeight="false" outlineLevel="0" collapsed="false">
      <c r="A8" s="1" t="s">
        <v>16</v>
      </c>
      <c r="B8" s="1" t="s">
        <v>16</v>
      </c>
    </row>
    <row r="9" customFormat="false" ht="13.8" hidden="false" customHeight="false" outlineLevel="0" collapsed="false">
      <c r="A9" s="1" t="s">
        <v>17</v>
      </c>
      <c r="B9" s="1" t="s">
        <v>10</v>
      </c>
      <c r="C9" s="0" t="n">
        <v>0.847</v>
      </c>
      <c r="D9" s="0" t="n">
        <v>0.893</v>
      </c>
      <c r="E9" s="0" t="n">
        <v>0.889</v>
      </c>
      <c r="F9" s="0" t="n">
        <v>0</v>
      </c>
      <c r="G9" s="0" t="n">
        <v>0.798</v>
      </c>
      <c r="H9" s="0" t="n">
        <v>0</v>
      </c>
      <c r="I9" s="0" t="n">
        <v>0.852</v>
      </c>
      <c r="J9" s="0" t="n">
        <v>0.837</v>
      </c>
    </row>
    <row r="10" customFormat="false" ht="13.8" hidden="false" customHeight="false" outlineLevel="0" collapsed="false">
      <c r="A10" s="1"/>
      <c r="B10" s="1" t="s">
        <v>11</v>
      </c>
      <c r="C10" s="0" t="n">
        <v>0.957</v>
      </c>
      <c r="D10" s="0" t="n">
        <v>1</v>
      </c>
      <c r="E10" s="0" t="n">
        <v>1</v>
      </c>
      <c r="F10" s="0" t="n">
        <v>0.957</v>
      </c>
      <c r="G10" s="0" t="n">
        <v>0.913</v>
      </c>
      <c r="H10" s="0" t="n">
        <v>0.727</v>
      </c>
      <c r="I10" s="0" t="n">
        <v>1</v>
      </c>
      <c r="J10" s="0" t="n">
        <v>0.957</v>
      </c>
    </row>
    <row r="11" customFormat="false" ht="13.8" hidden="false" customHeight="false" outlineLevel="0" collapsed="false">
      <c r="A11" s="1"/>
      <c r="B11" s="1" t="s">
        <v>12</v>
      </c>
      <c r="C11" s="0" t="n">
        <v>11</v>
      </c>
      <c r="D11" s="0" t="n">
        <v>13</v>
      </c>
      <c r="E11" s="0" t="n">
        <v>13</v>
      </c>
      <c r="F11" s="0" t="n">
        <v>0</v>
      </c>
      <c r="G11" s="0" t="n">
        <v>11</v>
      </c>
      <c r="H11" s="0" t="n">
        <v>0</v>
      </c>
      <c r="I11" s="0" t="n">
        <v>13</v>
      </c>
      <c r="J11" s="0" t="n">
        <v>12</v>
      </c>
    </row>
    <row r="12" customFormat="false" ht="13.8" hidden="false" customHeight="false" outlineLevel="0" collapsed="false">
      <c r="A12" s="1"/>
      <c r="B12" s="1" t="s">
        <v>13</v>
      </c>
      <c r="C12" s="0" t="n">
        <v>52.876</v>
      </c>
      <c r="D12" s="0" t="n">
        <v>4.519</v>
      </c>
      <c r="E12" s="0" t="n">
        <v>43.875</v>
      </c>
      <c r="F12" s="0" t="n">
        <v>1.429</v>
      </c>
      <c r="G12" s="0" t="n">
        <v>3.038</v>
      </c>
      <c r="H12" s="0" t="n">
        <v>1.938</v>
      </c>
      <c r="I12" s="0" t="n">
        <v>4.325</v>
      </c>
      <c r="J12" s="0" t="n">
        <v>17.804</v>
      </c>
    </row>
    <row r="13" customFormat="false" ht="13.8" hidden="false" customHeight="false" outlineLevel="0" collapsed="false">
      <c r="A13" s="1"/>
      <c r="B13" s="1" t="s">
        <v>14</v>
      </c>
      <c r="C13" s="0" t="n">
        <v>11</v>
      </c>
      <c r="D13" s="0" t="n">
        <v>13</v>
      </c>
      <c r="E13" s="0" t="n">
        <v>13</v>
      </c>
      <c r="F13" s="0" t="n">
        <v>0</v>
      </c>
      <c r="G13" s="0" t="n">
        <v>11</v>
      </c>
      <c r="H13" s="0" t="n">
        <v>0</v>
      </c>
      <c r="I13" s="0" t="n">
        <v>13</v>
      </c>
      <c r="J13" s="0" t="n">
        <v>12</v>
      </c>
    </row>
    <row r="14" customFormat="false" ht="13.8" hidden="false" customHeight="false" outlineLevel="0" collapsed="false">
      <c r="A14" s="1"/>
      <c r="B14" s="1" t="s">
        <v>15</v>
      </c>
      <c r="C14" s="0" t="n">
        <v>23</v>
      </c>
      <c r="D14" s="0" t="n">
        <v>23</v>
      </c>
      <c r="E14" s="0" t="n">
        <v>23</v>
      </c>
      <c r="F14" s="0" t="n">
        <v>23</v>
      </c>
      <c r="G14" s="0" t="n">
        <v>23</v>
      </c>
      <c r="H14" s="0" t="n">
        <v>23</v>
      </c>
      <c r="I14" s="0" t="n">
        <v>23</v>
      </c>
      <c r="J14" s="0" t="n">
        <v>23</v>
      </c>
    </row>
    <row r="15" customFormat="false" ht="13.8" hidden="false" customHeight="false" outlineLevel="0" collapsed="false">
      <c r="A15" s="1" t="s">
        <v>16</v>
      </c>
      <c r="B15" s="1" t="s">
        <v>16</v>
      </c>
    </row>
    <row r="16" customFormat="false" ht="13.8" hidden="false" customHeight="false" outlineLevel="0" collapsed="false">
      <c r="A16" s="1" t="s">
        <v>18</v>
      </c>
      <c r="B16" s="1" t="s">
        <v>10</v>
      </c>
      <c r="C16" s="0" t="n">
        <v>0.795</v>
      </c>
      <c r="D16" s="0" t="n">
        <v>0.753</v>
      </c>
      <c r="E16" s="0" t="n">
        <v>0.844</v>
      </c>
      <c r="F16" s="0" t="n">
        <v>0</v>
      </c>
      <c r="G16" s="0" t="n">
        <v>0.708</v>
      </c>
      <c r="H16" s="0" t="n">
        <v>0</v>
      </c>
      <c r="I16" s="0" t="n">
        <v>0.759</v>
      </c>
      <c r="J16" s="0" t="n">
        <v>0.825</v>
      </c>
    </row>
    <row r="17" customFormat="false" ht="13.8" hidden="false" customHeight="false" outlineLevel="0" collapsed="false">
      <c r="A17" s="1"/>
      <c r="B17" s="1" t="s">
        <v>11</v>
      </c>
      <c r="C17" s="0" t="n">
        <v>0.957</v>
      </c>
      <c r="D17" s="0" t="n">
        <v>0.913</v>
      </c>
      <c r="E17" s="0" t="n">
        <v>1</v>
      </c>
      <c r="F17" s="0" t="n">
        <v>0.87</v>
      </c>
      <c r="G17" s="0" t="n">
        <v>0.87</v>
      </c>
      <c r="H17" s="0" t="n">
        <v>0.609</v>
      </c>
      <c r="I17" s="0" t="n">
        <v>0.957</v>
      </c>
      <c r="J17" s="0" t="n">
        <v>1</v>
      </c>
    </row>
    <row r="18" customFormat="false" ht="13.8" hidden="false" customHeight="false" outlineLevel="0" collapsed="false">
      <c r="A18" s="1"/>
      <c r="B18" s="1" t="s">
        <v>12</v>
      </c>
      <c r="C18" s="0" t="n">
        <v>10</v>
      </c>
      <c r="D18" s="0" t="n">
        <v>9</v>
      </c>
      <c r="E18" s="0" t="n">
        <v>11</v>
      </c>
      <c r="F18" s="0" t="n">
        <v>0</v>
      </c>
      <c r="G18" s="0" t="n">
        <v>8</v>
      </c>
      <c r="H18" s="0" t="n">
        <v>0</v>
      </c>
      <c r="I18" s="0" t="n">
        <v>10</v>
      </c>
      <c r="J18" s="0" t="n">
        <v>10</v>
      </c>
    </row>
    <row r="19" customFormat="false" ht="13.8" hidden="false" customHeight="false" outlineLevel="0" collapsed="false">
      <c r="A19" s="1"/>
      <c r="B19" s="1" t="s">
        <v>13</v>
      </c>
      <c r="C19" s="0" t="n">
        <v>53.311</v>
      </c>
      <c r="D19" s="0" t="n">
        <v>4.313</v>
      </c>
      <c r="E19" s="0" t="n">
        <v>43.256</v>
      </c>
      <c r="F19" s="0" t="n">
        <v>1.46</v>
      </c>
      <c r="G19" s="0" t="n">
        <v>2.836</v>
      </c>
      <c r="H19" s="0" t="n">
        <v>1.846</v>
      </c>
      <c r="I19" s="0" t="n">
        <v>4.021</v>
      </c>
      <c r="J19" s="0" t="n">
        <v>10.586</v>
      </c>
    </row>
    <row r="20" customFormat="false" ht="13.8" hidden="false" customHeight="false" outlineLevel="0" collapsed="false">
      <c r="A20" s="1"/>
      <c r="B20" s="1" t="s">
        <v>14</v>
      </c>
      <c r="C20" s="0" t="n">
        <v>10</v>
      </c>
      <c r="D20" s="0" t="n">
        <v>9</v>
      </c>
      <c r="E20" s="0" t="n">
        <v>11</v>
      </c>
      <c r="F20" s="0" t="n">
        <v>0</v>
      </c>
      <c r="G20" s="0" t="n">
        <v>8</v>
      </c>
      <c r="H20" s="0" t="n">
        <v>0</v>
      </c>
      <c r="I20" s="0" t="n">
        <v>10</v>
      </c>
      <c r="J20" s="0" t="n">
        <v>10</v>
      </c>
    </row>
    <row r="21" customFormat="false" ht="13.8" hidden="false" customHeight="false" outlineLevel="0" collapsed="false">
      <c r="A21" s="1"/>
      <c r="B21" s="1" t="s">
        <v>15</v>
      </c>
      <c r="C21" s="0" t="n">
        <v>23</v>
      </c>
      <c r="D21" s="0" t="n">
        <v>23</v>
      </c>
      <c r="E21" s="0" t="n">
        <v>23</v>
      </c>
      <c r="F21" s="0" t="n">
        <v>23</v>
      </c>
      <c r="G21" s="0" t="n">
        <v>23</v>
      </c>
      <c r="H21" s="0" t="n">
        <v>23</v>
      </c>
      <c r="I21" s="0" t="n">
        <v>23</v>
      </c>
      <c r="J21" s="0" t="n">
        <v>23</v>
      </c>
    </row>
    <row r="22" customFormat="false" ht="13.8" hidden="false" customHeight="false" outlineLevel="0" collapsed="false">
      <c r="A22" s="1" t="s">
        <v>16</v>
      </c>
      <c r="B22" s="1" t="s">
        <v>16</v>
      </c>
    </row>
    <row r="23" customFormat="false" ht="13.8" hidden="false" customHeight="false" outlineLevel="0" collapsed="false">
      <c r="A23" s="1" t="s">
        <v>19</v>
      </c>
      <c r="B23" s="1" t="s">
        <v>10</v>
      </c>
      <c r="C23" s="0" t="n">
        <v>0.859</v>
      </c>
      <c r="D23" s="0" t="n">
        <v>0.898</v>
      </c>
      <c r="E23" s="0" t="n">
        <v>0.868</v>
      </c>
      <c r="F23" s="0" t="n">
        <v>0</v>
      </c>
      <c r="G23" s="0" t="n">
        <v>0.878</v>
      </c>
      <c r="H23" s="0" t="n">
        <v>0</v>
      </c>
      <c r="I23" s="0" t="n">
        <v>0.917</v>
      </c>
      <c r="J23" s="0" t="n">
        <v>0.939</v>
      </c>
    </row>
    <row r="24" customFormat="false" ht="13.8" hidden="false" customHeight="false" outlineLevel="0" collapsed="false">
      <c r="A24" s="1"/>
      <c r="B24" s="1" t="s">
        <v>11</v>
      </c>
      <c r="C24" s="0" t="n">
        <v>1</v>
      </c>
      <c r="D24" s="0" t="n">
        <v>0.955</v>
      </c>
      <c r="E24" s="0" t="n">
        <v>0.913</v>
      </c>
      <c r="F24" s="0" t="n">
        <v>0.913</v>
      </c>
      <c r="G24" s="0" t="n">
        <v>0.957</v>
      </c>
      <c r="H24" s="0" t="n">
        <v>0.818</v>
      </c>
      <c r="I24" s="0" t="n">
        <v>1</v>
      </c>
      <c r="J24" s="0" t="n">
        <v>1</v>
      </c>
    </row>
    <row r="25" customFormat="false" ht="13.8" hidden="false" customHeight="false" outlineLevel="0" collapsed="false">
      <c r="A25" s="1"/>
      <c r="B25" s="1" t="s">
        <v>12</v>
      </c>
      <c r="C25" s="0" t="n">
        <v>16</v>
      </c>
      <c r="D25" s="0" t="n">
        <v>8</v>
      </c>
      <c r="E25" s="0" t="n">
        <v>16</v>
      </c>
      <c r="F25" s="0" t="n">
        <v>0</v>
      </c>
      <c r="G25" s="0" t="n">
        <v>15</v>
      </c>
      <c r="H25" s="0" t="n">
        <v>0</v>
      </c>
      <c r="I25" s="0" t="n">
        <v>12</v>
      </c>
      <c r="J25" s="0" t="n">
        <v>15</v>
      </c>
    </row>
    <row r="26" customFormat="false" ht="13.8" hidden="false" customHeight="false" outlineLevel="0" collapsed="false">
      <c r="A26" s="1"/>
      <c r="B26" s="1" t="s">
        <v>13</v>
      </c>
      <c r="C26" s="0" t="n">
        <v>50.121</v>
      </c>
      <c r="D26" s="0" t="n">
        <v>4.319</v>
      </c>
      <c r="E26" s="0" t="n">
        <v>38.913</v>
      </c>
      <c r="F26" s="0" t="n">
        <v>1.439</v>
      </c>
      <c r="G26" s="0" t="n">
        <v>2.884</v>
      </c>
      <c r="H26" s="0" t="n">
        <v>1.867</v>
      </c>
      <c r="I26" s="0" t="n">
        <v>4.207</v>
      </c>
      <c r="J26" s="0" t="n">
        <v>9.42</v>
      </c>
    </row>
    <row r="27" customFormat="false" ht="13.8" hidden="false" customHeight="false" outlineLevel="0" collapsed="false">
      <c r="A27" s="1"/>
      <c r="B27" s="1" t="s">
        <v>14</v>
      </c>
      <c r="C27" s="0" t="n">
        <v>16</v>
      </c>
      <c r="D27" s="0" t="n">
        <v>8</v>
      </c>
      <c r="E27" s="0" t="n">
        <v>16</v>
      </c>
      <c r="F27" s="0" t="n">
        <v>0</v>
      </c>
      <c r="G27" s="0" t="n">
        <v>15</v>
      </c>
      <c r="H27" s="0" t="n">
        <v>0</v>
      </c>
      <c r="I27" s="0" t="n">
        <v>12</v>
      </c>
      <c r="J27" s="0" t="n">
        <v>15</v>
      </c>
    </row>
    <row r="28" customFormat="false" ht="13.8" hidden="false" customHeight="false" outlineLevel="0" collapsed="false">
      <c r="A28" s="1"/>
      <c r="B28" s="1" t="s">
        <v>15</v>
      </c>
      <c r="C28" s="0" t="n">
        <v>23</v>
      </c>
      <c r="D28" s="0" t="n">
        <v>23</v>
      </c>
      <c r="E28" s="0" t="n">
        <v>23</v>
      </c>
      <c r="F28" s="0" t="n">
        <v>23</v>
      </c>
      <c r="G28" s="0" t="n">
        <v>23</v>
      </c>
      <c r="H28" s="0" t="n">
        <v>23</v>
      </c>
      <c r="I28" s="0" t="n">
        <v>23</v>
      </c>
      <c r="J28" s="0" t="n">
        <v>23</v>
      </c>
    </row>
    <row r="29" customFormat="false" ht="13.8" hidden="false" customHeight="false" outlineLevel="0" collapsed="false">
      <c r="A29" s="1" t="s">
        <v>16</v>
      </c>
      <c r="B29" s="1" t="s">
        <v>16</v>
      </c>
    </row>
    <row r="30" customFormat="false" ht="13.8" hidden="false" customHeight="false" outlineLevel="0" collapsed="false">
      <c r="A30" s="1" t="s">
        <v>20</v>
      </c>
      <c r="B30" s="1" t="s">
        <v>10</v>
      </c>
      <c r="C30" s="0" t="n">
        <v>0.8222</v>
      </c>
      <c r="D30" s="0" t="n">
        <v>0.8182</v>
      </c>
      <c r="E30" s="0" t="n">
        <v>0.8372</v>
      </c>
      <c r="F30" s="0" t="n">
        <v>0</v>
      </c>
      <c r="G30" s="0" t="n">
        <v>0.8214</v>
      </c>
      <c r="H30" s="0" t="n">
        <v>0</v>
      </c>
      <c r="I30" s="0" t="n">
        <v>0.8</v>
      </c>
      <c r="J30" s="0" t="n">
        <v>0.7818</v>
      </c>
    </row>
    <row r="31" customFormat="false" ht="13.8" hidden="false" customHeight="false" outlineLevel="0" collapsed="false">
      <c r="A31" s="1"/>
      <c r="B31" s="1" t="s">
        <v>11</v>
      </c>
      <c r="C31" s="0" t="n">
        <v>0.913</v>
      </c>
      <c r="D31" s="0" t="n">
        <v>0.957</v>
      </c>
      <c r="E31" s="0" t="n">
        <v>0.783</v>
      </c>
      <c r="F31" s="0" t="n">
        <v>0.826</v>
      </c>
      <c r="G31" s="0" t="n">
        <v>0.565</v>
      </c>
      <c r="H31" s="0" t="n">
        <v>0.696</v>
      </c>
      <c r="I31" s="0" t="n">
        <v>0.739</v>
      </c>
      <c r="J31" s="0" t="n">
        <v>0.913</v>
      </c>
    </row>
    <row r="32" customFormat="false" ht="13.8" hidden="false" customHeight="false" outlineLevel="0" collapsed="false">
      <c r="A32" s="1"/>
      <c r="B32" s="1" t="s">
        <v>12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</row>
    <row r="33" customFormat="false" ht="13.8" hidden="false" customHeight="false" outlineLevel="0" collapsed="false">
      <c r="A33" s="1"/>
      <c r="B33" s="1" t="s">
        <v>13</v>
      </c>
      <c r="C33" s="0" t="n">
        <v>44.179</v>
      </c>
      <c r="D33" s="0" t="n">
        <v>3.41</v>
      </c>
      <c r="E33" s="0" t="n">
        <v>35.693</v>
      </c>
      <c r="F33" s="0" t="n">
        <v>1.323</v>
      </c>
      <c r="G33" s="0" t="n">
        <v>1.875</v>
      </c>
      <c r="H33" s="0" t="n">
        <v>1.79</v>
      </c>
      <c r="I33" s="0" t="n">
        <v>3.277</v>
      </c>
      <c r="J33" s="0" t="n">
        <v>10.659</v>
      </c>
    </row>
    <row r="34" customFormat="false" ht="13.8" hidden="false" customHeight="false" outlineLevel="0" collapsed="false">
      <c r="A34" s="1"/>
      <c r="B34" s="1" t="s">
        <v>14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</row>
    <row r="35" customFormat="false" ht="13.8" hidden="false" customHeight="false" outlineLevel="0" collapsed="false">
      <c r="A35" s="1"/>
      <c r="B35" s="1" t="s">
        <v>15</v>
      </c>
      <c r="C35" s="0" t="n">
        <v>23</v>
      </c>
      <c r="D35" s="0" t="n">
        <v>23</v>
      </c>
      <c r="E35" s="0" t="n">
        <v>23</v>
      </c>
      <c r="F35" s="0" t="n">
        <v>23</v>
      </c>
      <c r="G35" s="0" t="n">
        <v>23</v>
      </c>
      <c r="H35" s="0" t="n">
        <v>23</v>
      </c>
      <c r="I35" s="0" t="n">
        <v>23</v>
      </c>
      <c r="J35" s="0" t="n">
        <v>23</v>
      </c>
    </row>
    <row r="36" customFormat="false" ht="13.8" hidden="false" customHeight="false" outlineLevel="0" collapsed="false">
      <c r="A36" s="1" t="s">
        <v>16</v>
      </c>
      <c r="B36" s="1" t="s">
        <v>16</v>
      </c>
    </row>
    <row r="37" customFormat="false" ht="13.8" hidden="false" customHeight="false" outlineLevel="0" collapsed="false">
      <c r="A37" s="1" t="s">
        <v>21</v>
      </c>
      <c r="B37" s="1" t="s">
        <v>10</v>
      </c>
      <c r="C37" s="0" t="n">
        <v>0.896</v>
      </c>
      <c r="D37" s="0" t="n">
        <v>0.93</v>
      </c>
      <c r="E37" s="0" t="n">
        <v>0.956</v>
      </c>
      <c r="F37" s="0" t="n">
        <v>0</v>
      </c>
      <c r="G37" s="0" t="n">
        <v>0.828</v>
      </c>
      <c r="H37" s="0" t="n">
        <v>0</v>
      </c>
      <c r="I37" s="0" t="n">
        <v>0.904</v>
      </c>
      <c r="J37" s="0" t="n">
        <v>0.941</v>
      </c>
    </row>
    <row r="38" customFormat="false" ht="13.8" hidden="false" customHeight="false" outlineLevel="0" collapsed="false">
      <c r="A38" s="1"/>
      <c r="B38" s="1" t="s">
        <v>11</v>
      </c>
      <c r="C38" s="0" t="n">
        <v>1</v>
      </c>
      <c r="D38" s="0" t="n">
        <v>0.978</v>
      </c>
      <c r="E38" s="0" t="n">
        <v>1</v>
      </c>
      <c r="F38" s="0" t="n">
        <v>0.935</v>
      </c>
      <c r="G38" s="0" t="n">
        <v>0.957</v>
      </c>
      <c r="H38" s="0" t="n">
        <v>0.891</v>
      </c>
      <c r="I38" s="0" t="n">
        <v>1</v>
      </c>
      <c r="J38" s="0" t="n">
        <v>1</v>
      </c>
    </row>
    <row r="39" customFormat="false" ht="13.8" hidden="false" customHeight="false" outlineLevel="0" collapsed="false">
      <c r="A39" s="1"/>
      <c r="B39" s="1" t="s">
        <v>12</v>
      </c>
      <c r="C39" s="0" t="n">
        <v>34</v>
      </c>
      <c r="D39" s="0" t="n">
        <v>38</v>
      </c>
      <c r="E39" s="0" t="n">
        <v>39</v>
      </c>
      <c r="F39" s="0" t="n">
        <v>0</v>
      </c>
      <c r="G39" s="0" t="n">
        <v>32</v>
      </c>
      <c r="H39" s="0" t="n">
        <v>0</v>
      </c>
      <c r="I39" s="0" t="n">
        <v>35</v>
      </c>
      <c r="J39" s="0" t="n">
        <v>37</v>
      </c>
    </row>
    <row r="40" customFormat="false" ht="13.8" hidden="false" customHeight="false" outlineLevel="0" collapsed="false">
      <c r="A40" s="1"/>
      <c r="B40" s="1" t="s">
        <v>13</v>
      </c>
      <c r="C40" s="0" t="n">
        <v>51.904</v>
      </c>
      <c r="D40" s="0" t="n">
        <v>3.917</v>
      </c>
      <c r="E40" s="0" t="n">
        <v>39.053</v>
      </c>
      <c r="F40" s="0" t="n">
        <v>1.27</v>
      </c>
      <c r="G40" s="0" t="n">
        <v>2.749</v>
      </c>
      <c r="H40" s="0" t="n">
        <v>1.798</v>
      </c>
      <c r="I40" s="0" t="n">
        <v>4.072</v>
      </c>
      <c r="J40" s="0" t="n">
        <v>9.003</v>
      </c>
    </row>
    <row r="41" customFormat="false" ht="13.8" hidden="false" customHeight="false" outlineLevel="0" collapsed="false">
      <c r="A41" s="1"/>
      <c r="B41" s="1" t="s">
        <v>14</v>
      </c>
      <c r="C41" s="0" t="n">
        <v>34</v>
      </c>
      <c r="D41" s="0" t="n">
        <v>38</v>
      </c>
      <c r="E41" s="0" t="n">
        <v>39</v>
      </c>
      <c r="F41" s="0" t="n">
        <v>0</v>
      </c>
      <c r="G41" s="0" t="n">
        <v>32</v>
      </c>
      <c r="H41" s="0" t="n">
        <v>0</v>
      </c>
      <c r="I41" s="0" t="n">
        <v>35</v>
      </c>
      <c r="J41" s="0" t="n">
        <v>37</v>
      </c>
    </row>
    <row r="42" customFormat="false" ht="13.8" hidden="false" customHeight="false" outlineLevel="0" collapsed="false">
      <c r="A42" s="1"/>
      <c r="B42" s="1" t="s">
        <v>15</v>
      </c>
      <c r="C42" s="0" t="n">
        <v>46</v>
      </c>
      <c r="D42" s="0" t="n">
        <v>46</v>
      </c>
      <c r="E42" s="0" t="n">
        <v>46</v>
      </c>
      <c r="F42" s="0" t="n">
        <v>46</v>
      </c>
      <c r="G42" s="0" t="n">
        <v>46</v>
      </c>
      <c r="H42" s="0" t="n">
        <v>46</v>
      </c>
      <c r="I42" s="0" t="n">
        <v>46</v>
      </c>
      <c r="J42" s="0" t="n">
        <v>46</v>
      </c>
    </row>
    <row r="43" customFormat="false" ht="13.8" hidden="false" customHeight="false" outlineLevel="0" collapsed="false">
      <c r="A43" s="1" t="s">
        <v>16</v>
      </c>
      <c r="B43" s="1" t="s">
        <v>16</v>
      </c>
    </row>
    <row r="44" customFormat="false" ht="13.8" hidden="false" customHeight="false" outlineLevel="0" collapsed="false">
      <c r="A44" s="1" t="s">
        <v>22</v>
      </c>
      <c r="B44" s="1" t="s">
        <v>10</v>
      </c>
      <c r="C44" s="0" t="n">
        <v>0.795</v>
      </c>
      <c r="D44" s="0" t="n">
        <v>0.753</v>
      </c>
      <c r="E44" s="0" t="n">
        <v>0.786</v>
      </c>
      <c r="F44" s="0" t="n">
        <v>0</v>
      </c>
      <c r="G44" s="0" t="n">
        <v>0.729</v>
      </c>
      <c r="H44" s="0" t="n">
        <v>0</v>
      </c>
      <c r="I44" s="0" t="n">
        <v>0.759</v>
      </c>
      <c r="J44" s="0" t="n">
        <v>0.831</v>
      </c>
    </row>
    <row r="45" customFormat="false" ht="13.8" hidden="false" customHeight="false" outlineLevel="0" collapsed="false">
      <c r="A45" s="1"/>
      <c r="B45" s="1" t="s">
        <v>11</v>
      </c>
      <c r="C45" s="0" t="n">
        <v>0.957</v>
      </c>
      <c r="D45" s="0" t="n">
        <v>0.909</v>
      </c>
      <c r="E45" s="0" t="n">
        <v>0.913</v>
      </c>
      <c r="F45" s="0" t="n">
        <v>0.913</v>
      </c>
      <c r="G45" s="0" t="n">
        <v>0.87</v>
      </c>
      <c r="H45" s="0" t="n">
        <v>0.652</v>
      </c>
      <c r="I45" s="0" t="n">
        <v>0.957</v>
      </c>
      <c r="J45" s="0" t="n">
        <v>1</v>
      </c>
    </row>
    <row r="46" customFormat="false" ht="13.8" hidden="false" customHeight="false" outlineLevel="0" collapsed="false">
      <c r="A46" s="1"/>
      <c r="B46" s="1" t="s">
        <v>12</v>
      </c>
      <c r="C46" s="0" t="n">
        <v>10</v>
      </c>
      <c r="D46" s="0" t="n">
        <v>9</v>
      </c>
      <c r="E46" s="0" t="n">
        <v>10</v>
      </c>
      <c r="F46" s="0" t="n">
        <v>0</v>
      </c>
      <c r="G46" s="0" t="n">
        <v>9</v>
      </c>
      <c r="H46" s="0" t="n">
        <v>0</v>
      </c>
      <c r="I46" s="0" t="n">
        <v>10</v>
      </c>
      <c r="J46" s="0" t="n">
        <v>10</v>
      </c>
    </row>
    <row r="47" customFormat="false" ht="13.8" hidden="false" customHeight="false" outlineLevel="0" collapsed="false">
      <c r="A47" s="1"/>
      <c r="B47" s="1" t="s">
        <v>13</v>
      </c>
      <c r="C47" s="0" t="n">
        <v>54.81</v>
      </c>
      <c r="D47" s="0" t="n">
        <v>3.887</v>
      </c>
      <c r="E47" s="0" t="n">
        <v>41.019</v>
      </c>
      <c r="F47" s="0" t="n">
        <v>1.404</v>
      </c>
      <c r="G47" s="0" t="n">
        <v>2.688</v>
      </c>
      <c r="H47" s="0" t="n">
        <v>1.879</v>
      </c>
      <c r="I47" s="0" t="n">
        <v>3.981</v>
      </c>
      <c r="J47" s="0" t="n">
        <v>10.741</v>
      </c>
    </row>
    <row r="48" customFormat="false" ht="13.8" hidden="false" customHeight="false" outlineLevel="0" collapsed="false">
      <c r="A48" s="1"/>
      <c r="B48" s="1" t="s">
        <v>14</v>
      </c>
      <c r="C48" s="0" t="n">
        <v>10</v>
      </c>
      <c r="D48" s="0" t="n">
        <v>9</v>
      </c>
      <c r="E48" s="0" t="n">
        <v>10</v>
      </c>
      <c r="F48" s="0" t="n">
        <v>0</v>
      </c>
      <c r="G48" s="0" t="n">
        <v>9</v>
      </c>
      <c r="H48" s="0" t="n">
        <v>0</v>
      </c>
      <c r="I48" s="0" t="n">
        <v>10</v>
      </c>
      <c r="J48" s="0" t="n">
        <v>10</v>
      </c>
    </row>
    <row r="49" customFormat="false" ht="13.8" hidden="false" customHeight="false" outlineLevel="0" collapsed="false">
      <c r="A49" s="1"/>
      <c r="B49" s="1" t="s">
        <v>15</v>
      </c>
      <c r="C49" s="0" t="n">
        <v>23</v>
      </c>
      <c r="D49" s="0" t="n">
        <v>23</v>
      </c>
      <c r="E49" s="0" t="n">
        <v>23</v>
      </c>
      <c r="F49" s="0" t="n">
        <v>23</v>
      </c>
      <c r="G49" s="0" t="n">
        <v>23</v>
      </c>
      <c r="H49" s="0" t="n">
        <v>23</v>
      </c>
      <c r="I49" s="0" t="n">
        <v>23</v>
      </c>
      <c r="J49" s="0" t="n">
        <v>23</v>
      </c>
    </row>
    <row r="50" customFormat="false" ht="13.8" hidden="false" customHeight="false" outlineLevel="0" collapsed="false">
      <c r="A50" s="1" t="s">
        <v>16</v>
      </c>
      <c r="B50" s="1" t="s">
        <v>16</v>
      </c>
    </row>
    <row r="51" customFormat="false" ht="13.8" hidden="false" customHeight="false" outlineLevel="0" collapsed="false">
      <c r="A51" s="1" t="s">
        <v>23</v>
      </c>
      <c r="B51" s="1" t="s">
        <v>10</v>
      </c>
      <c r="C51" s="0" t="n">
        <v>0.922</v>
      </c>
      <c r="D51" s="0" t="n">
        <v>0.828</v>
      </c>
      <c r="E51" s="0" t="n">
        <v>0.879</v>
      </c>
      <c r="F51" s="0" t="n">
        <v>0</v>
      </c>
      <c r="G51" s="0" t="n">
        <v>0.684</v>
      </c>
      <c r="H51" s="0" t="n">
        <v>0</v>
      </c>
      <c r="I51" s="0" t="n">
        <v>0.821</v>
      </c>
      <c r="J51" s="0" t="n">
        <v>0.897</v>
      </c>
    </row>
    <row r="52" customFormat="false" ht="13.8" hidden="false" customHeight="false" outlineLevel="0" collapsed="false">
      <c r="A52" s="1"/>
      <c r="B52" s="1" t="s">
        <v>11</v>
      </c>
      <c r="C52" s="0" t="n">
        <v>1</v>
      </c>
      <c r="D52" s="0" t="n">
        <v>0.913</v>
      </c>
      <c r="E52" s="0" t="n">
        <v>0.913</v>
      </c>
      <c r="F52" s="0" t="n">
        <v>0.826</v>
      </c>
      <c r="G52" s="0" t="n">
        <v>0.87</v>
      </c>
      <c r="H52" s="0" t="n">
        <v>0.783</v>
      </c>
      <c r="I52" s="0" t="n">
        <v>0.957</v>
      </c>
      <c r="J52" s="0" t="n">
        <v>0.957</v>
      </c>
    </row>
    <row r="53" customFormat="false" ht="13.8" hidden="false" customHeight="false" outlineLevel="0" collapsed="false">
      <c r="A53" s="1"/>
      <c r="B53" s="1" t="s">
        <v>12</v>
      </c>
      <c r="C53" s="0" t="n">
        <v>17</v>
      </c>
      <c r="D53" s="0" t="n">
        <v>11</v>
      </c>
      <c r="E53" s="0" t="n">
        <v>17</v>
      </c>
      <c r="F53" s="0" t="n">
        <v>0</v>
      </c>
      <c r="G53" s="0" t="n">
        <v>10</v>
      </c>
      <c r="H53" s="0" t="n">
        <v>0</v>
      </c>
      <c r="I53" s="0" t="n">
        <v>15</v>
      </c>
      <c r="J53" s="0" t="n">
        <v>16</v>
      </c>
    </row>
    <row r="54" customFormat="false" ht="13.8" hidden="false" customHeight="false" outlineLevel="0" collapsed="false">
      <c r="A54" s="1"/>
      <c r="B54" s="1" t="s">
        <v>13</v>
      </c>
      <c r="C54" s="0" t="n">
        <v>49.753</v>
      </c>
      <c r="D54" s="0" t="n">
        <v>3.623</v>
      </c>
      <c r="E54" s="0" t="n">
        <v>38.308</v>
      </c>
      <c r="F54" s="0" t="n">
        <v>1.351</v>
      </c>
      <c r="G54" s="0" t="n">
        <v>2.296</v>
      </c>
      <c r="H54" s="0" t="n">
        <v>1.756</v>
      </c>
      <c r="I54" s="0" t="n">
        <v>3.627</v>
      </c>
      <c r="J54" s="0" t="n">
        <v>8.426</v>
      </c>
    </row>
    <row r="55" customFormat="false" ht="13.8" hidden="false" customHeight="false" outlineLevel="0" collapsed="false">
      <c r="A55" s="1"/>
      <c r="B55" s="1" t="s">
        <v>14</v>
      </c>
      <c r="C55" s="0" t="n">
        <v>17</v>
      </c>
      <c r="D55" s="0" t="n">
        <v>11</v>
      </c>
      <c r="E55" s="0" t="n">
        <v>17</v>
      </c>
      <c r="F55" s="0" t="n">
        <v>0</v>
      </c>
      <c r="G55" s="0" t="n">
        <v>10</v>
      </c>
      <c r="H55" s="0" t="n">
        <v>0</v>
      </c>
      <c r="I55" s="0" t="n">
        <v>15</v>
      </c>
      <c r="J55" s="0" t="n">
        <v>16</v>
      </c>
    </row>
    <row r="56" customFormat="false" ht="13.8" hidden="false" customHeight="false" outlineLevel="0" collapsed="false">
      <c r="A56" s="1"/>
      <c r="B56" s="1" t="s">
        <v>15</v>
      </c>
      <c r="C56" s="0" t="n">
        <v>23</v>
      </c>
      <c r="D56" s="0" t="n">
        <v>23</v>
      </c>
      <c r="E56" s="0" t="n">
        <v>23</v>
      </c>
      <c r="F56" s="0" t="n">
        <v>23</v>
      </c>
      <c r="G56" s="0" t="n">
        <v>23</v>
      </c>
      <c r="H56" s="0" t="n">
        <v>23</v>
      </c>
      <c r="I56" s="0" t="n">
        <v>23</v>
      </c>
      <c r="J56" s="0" t="n">
        <v>23</v>
      </c>
    </row>
    <row r="57" customFormat="false" ht="13.8" hidden="false" customHeight="false" outlineLevel="0" collapsed="false">
      <c r="A57" s="1" t="s">
        <v>16</v>
      </c>
      <c r="B57" s="1" t="s">
        <v>16</v>
      </c>
    </row>
    <row r="58" customFormat="false" ht="13.8" hidden="false" customHeight="false" outlineLevel="0" collapsed="false">
      <c r="A58" s="1" t="s">
        <v>24</v>
      </c>
      <c r="B58" s="1" t="s">
        <v>10</v>
      </c>
      <c r="C58" s="0" t="n">
        <v>0.786</v>
      </c>
      <c r="D58" s="0" t="n">
        <v>0.756</v>
      </c>
      <c r="E58" s="0" t="n">
        <v>0.835</v>
      </c>
      <c r="F58" s="0" t="n">
        <v>0</v>
      </c>
      <c r="G58" s="0" t="n">
        <v>0.739</v>
      </c>
      <c r="H58" s="0" t="n">
        <v>0</v>
      </c>
      <c r="I58" s="0" t="n">
        <v>0.759</v>
      </c>
      <c r="J58" s="0" t="n">
        <v>0.835</v>
      </c>
    </row>
    <row r="59" customFormat="false" ht="13.8" hidden="false" customHeight="false" outlineLevel="0" collapsed="false">
      <c r="A59" s="1"/>
      <c r="B59" s="1" t="s">
        <v>11</v>
      </c>
      <c r="C59" s="0" t="n">
        <v>0.957</v>
      </c>
      <c r="D59" s="0" t="n">
        <v>0.913</v>
      </c>
      <c r="E59" s="0" t="n">
        <v>0.957</v>
      </c>
      <c r="F59" s="0" t="n">
        <v>0.826</v>
      </c>
      <c r="G59" s="0" t="n">
        <v>0.87</v>
      </c>
      <c r="H59" s="0" t="n">
        <v>0.739</v>
      </c>
      <c r="I59" s="0" t="n">
        <v>0.957</v>
      </c>
      <c r="J59" s="0" t="n">
        <v>1</v>
      </c>
    </row>
    <row r="60" customFormat="false" ht="13.8" hidden="false" customHeight="false" outlineLevel="0" collapsed="false">
      <c r="A60" s="1"/>
      <c r="B60" s="1" t="s">
        <v>12</v>
      </c>
      <c r="C60" s="0" t="n">
        <v>9</v>
      </c>
      <c r="D60" s="0" t="n">
        <v>9</v>
      </c>
      <c r="E60" s="0" t="n">
        <v>11</v>
      </c>
      <c r="F60" s="0" t="n">
        <v>0</v>
      </c>
      <c r="G60" s="0" t="n">
        <v>9</v>
      </c>
      <c r="H60" s="0" t="n">
        <v>0</v>
      </c>
      <c r="I60" s="0" t="n">
        <v>10</v>
      </c>
      <c r="J60" s="0" t="n">
        <v>10</v>
      </c>
    </row>
    <row r="61" customFormat="false" ht="13.8" hidden="false" customHeight="false" outlineLevel="0" collapsed="false">
      <c r="A61" s="1"/>
      <c r="B61" s="1" t="s">
        <v>13</v>
      </c>
      <c r="C61" s="0" t="n">
        <v>52.893</v>
      </c>
      <c r="D61" s="0" t="n">
        <v>3.961</v>
      </c>
      <c r="E61" s="0" t="n">
        <v>41.765</v>
      </c>
      <c r="F61" s="0" t="n">
        <v>1.41</v>
      </c>
      <c r="G61" s="0" t="n">
        <v>2.702</v>
      </c>
      <c r="H61" s="0" t="n">
        <v>1.739</v>
      </c>
      <c r="I61" s="0" t="n">
        <v>3.938</v>
      </c>
      <c r="J61" s="0" t="n">
        <v>11.439</v>
      </c>
    </row>
    <row r="62" customFormat="false" ht="13.8" hidden="false" customHeight="false" outlineLevel="0" collapsed="false">
      <c r="A62" s="1"/>
      <c r="B62" s="1" t="s">
        <v>14</v>
      </c>
      <c r="C62" s="0" t="n">
        <v>9</v>
      </c>
      <c r="D62" s="0" t="n">
        <v>9</v>
      </c>
      <c r="E62" s="0" t="n">
        <v>11</v>
      </c>
      <c r="F62" s="0" t="n">
        <v>0</v>
      </c>
      <c r="G62" s="0" t="n">
        <v>9</v>
      </c>
      <c r="H62" s="0" t="n">
        <v>0</v>
      </c>
      <c r="I62" s="0" t="n">
        <v>10</v>
      </c>
      <c r="J62" s="0" t="n">
        <v>10</v>
      </c>
    </row>
    <row r="63" customFormat="false" ht="13.8" hidden="false" customHeight="false" outlineLevel="0" collapsed="false">
      <c r="A63" s="1"/>
      <c r="B63" s="1" t="s">
        <v>15</v>
      </c>
      <c r="C63" s="0" t="n">
        <v>23</v>
      </c>
      <c r="D63" s="0" t="n">
        <v>23</v>
      </c>
      <c r="E63" s="0" t="n">
        <v>23</v>
      </c>
      <c r="F63" s="0" t="n">
        <v>23</v>
      </c>
      <c r="G63" s="0" t="n">
        <v>23</v>
      </c>
      <c r="H63" s="0" t="n">
        <v>23</v>
      </c>
      <c r="I63" s="0" t="n">
        <v>23</v>
      </c>
      <c r="J63" s="0" t="n">
        <v>23</v>
      </c>
    </row>
    <row r="64" customFormat="false" ht="13.8" hidden="false" customHeight="false" outlineLevel="0" collapsed="false">
      <c r="A64" s="1" t="s">
        <v>16</v>
      </c>
      <c r="B64" s="1" t="s">
        <v>16</v>
      </c>
    </row>
    <row r="66" customFormat="false" ht="13.8" hidden="false" customHeight="false" outlineLevel="0" collapsed="false">
      <c r="A66" s="2" t="s">
        <v>25</v>
      </c>
      <c r="B66" s="0" t="s">
        <v>26</v>
      </c>
      <c r="C66" s="3" t="n">
        <f aca="false">AVERAGE(C2,C9,C16,C23,C30,C37,C44,C51,C58)</f>
        <v>0.829466666666667</v>
      </c>
      <c r="D66" s="3" t="n">
        <f aca="false">AVERAGE(D2,D9,D16,D23,D30,D37,D44,D51,D58)</f>
        <v>0.819688888888889</v>
      </c>
      <c r="E66" s="3" t="n">
        <f aca="false">AVERAGE(E2,E9,E16,E23,E30,E37,E44,E51,E58)</f>
        <v>0.851022222222222</v>
      </c>
      <c r="F66" s="3" t="n">
        <f aca="false">AVERAGE(F2,F9,F16,F23,F30,F37,F44,F51,F58)</f>
        <v>0</v>
      </c>
      <c r="G66" s="3" t="n">
        <f aca="false">AVERAGE(G2,G9,G16,G23,G30,G37,G44,G51,G58)</f>
        <v>0.751266666666667</v>
      </c>
      <c r="H66" s="3" t="n">
        <f aca="false">AVERAGE(H2,H9,H16,H23,H30,H37,H44,H51,H58)</f>
        <v>0</v>
      </c>
      <c r="I66" s="3" t="n">
        <f aca="false">AVERAGE(I2,I9,I16,I23,I30,I37,I44,I51,I58)</f>
        <v>0.807555555555556</v>
      </c>
      <c r="J66" s="3" t="n">
        <f aca="false">AVERAGE(J2,J9,J16,J23,J30,J37,J44,J51,J58)</f>
        <v>0.8532</v>
      </c>
    </row>
    <row r="67" customFormat="false" ht="13.8" hidden="false" customHeight="false" outlineLevel="0" collapsed="false">
      <c r="A67" s="2"/>
      <c r="B67" s="0" t="s">
        <v>27</v>
      </c>
      <c r="C67" s="3" t="n">
        <f aca="false">AVERAGE(C3,C10,C17,C24,C31,C38,C45,C52,C59)</f>
        <v>0.959111111111111</v>
      </c>
      <c r="D67" s="3" t="n">
        <f aca="false">AVERAGE(D3,D10,D17,D24,D31,D38,D45,D52,D59)</f>
        <v>0.934222222222222</v>
      </c>
      <c r="E67" s="3" t="n">
        <f aca="false">AVERAGE(E3,E10,E17,E24,E31,E38,E45,E52,E59)</f>
        <v>0.927666666666667</v>
      </c>
      <c r="F67" s="3" t="n">
        <f aca="false">AVERAGE(F3,F10,F17,F24,F31,F38,F45,F52,F59)</f>
        <v>0.872111111111111</v>
      </c>
      <c r="G67" s="3" t="n">
        <f aca="false">AVERAGE(G3,G10,G17,G24,G31,G38,G45,G52,G59)</f>
        <v>0.843222222222222</v>
      </c>
      <c r="H67" s="3" t="n">
        <f aca="false">AVERAGE(H3,H10,H17,H24,H31,H38,H45,H52,H59)</f>
        <v>0.736222222222222</v>
      </c>
      <c r="I67" s="3" t="n">
        <f aca="false">AVERAGE(I3,I10,I17,I24,I31,I38,I45,I52,I59)</f>
        <v>0.937444444444444</v>
      </c>
      <c r="J67" s="3" t="n">
        <f aca="false">AVERAGE(J3,J10,J17,J24,J31,J38,J45,J52,J59)</f>
        <v>0.973333333333333</v>
      </c>
    </row>
    <row r="68" customFormat="false" ht="13.8" hidden="false" customHeight="false" outlineLevel="0" collapsed="false">
      <c r="A68" s="2"/>
      <c r="B68" s="0" t="s">
        <v>15</v>
      </c>
      <c r="C68" s="0" t="n">
        <f aca="false">SUM(C7,C14,C21,C28,C35,C42,C49,C56,C63)</f>
        <v>253</v>
      </c>
      <c r="D68" s="0" t="n">
        <f aca="false">SUM(D7,D14,D21,D28,D35,D42,D49,D56,D63)</f>
        <v>253</v>
      </c>
      <c r="E68" s="0" t="n">
        <f aca="false">SUM(E7,E14,E21,E28,E35,E42,E49,E56,E63)</f>
        <v>253</v>
      </c>
      <c r="F68" s="0" t="n">
        <f aca="false">SUM(F7,F14,F21,F28,F35,F42,F49,F56,F63)</f>
        <v>253</v>
      </c>
      <c r="G68" s="0" t="n">
        <f aca="false">SUM(G7,G14,G21,G28,G35,G42,G49,G56,G63)</f>
        <v>253</v>
      </c>
      <c r="H68" s="0" t="n">
        <f aca="false">SUM(H7,H14,H21,H28,H35,H42,H49,H56,H63)</f>
        <v>253</v>
      </c>
      <c r="I68" s="0" t="n">
        <f aca="false">SUM(I7,I14,I21,I28,I35,I42,I49,I56,I63)</f>
        <v>253</v>
      </c>
      <c r="J68" s="0" t="n">
        <f aca="false">SUM(J7,J14,J21,J28,J35,J42,J49,J56,J63)</f>
        <v>253</v>
      </c>
    </row>
    <row r="69" customFormat="false" ht="13.8" hidden="false" customHeight="false" outlineLevel="0" collapsed="false">
      <c r="A69" s="2"/>
      <c r="B69" s="0" t="s">
        <v>28</v>
      </c>
      <c r="C69" s="3" t="n">
        <f aca="false">AVERAGE(C61,C54,C47,C40,C33,C26,C19,C12,C5)</f>
        <v>51.2167777777778</v>
      </c>
      <c r="D69" s="3" t="n">
        <f aca="false">AVERAGE(D61,D54,D47,D40,D33,D26,D19,D12,D5)</f>
        <v>3.98355555555556</v>
      </c>
      <c r="E69" s="3" t="n">
        <f aca="false">AVERAGE(E61,E54,E47,E40,E33,E26,E19,E12,E5)</f>
        <v>40.3344444444444</v>
      </c>
      <c r="F69" s="3" t="n">
        <f aca="false">AVERAGE(F61,F54,F47,F40,F33,F26,F19,F12,F5)</f>
        <v>1.38688888888889</v>
      </c>
      <c r="G69" s="3" t="n">
        <f aca="false">AVERAGE(G61,G54,G47,G40,G33,G26,G19,G12,G5)</f>
        <v>2.64355555555556</v>
      </c>
      <c r="H69" s="3" t="n">
        <f aca="false">AVERAGE(H61,H54,H47,H40,H33,H26,H19,H12,H5)</f>
        <v>1.83044444444444</v>
      </c>
      <c r="I69" s="3" t="n">
        <f aca="false">AVERAGE(I61,I54,I47,I40,I33,I26,I19,I12,I5)</f>
        <v>3.95966666666667</v>
      </c>
      <c r="J69" s="3" t="n">
        <f aca="false">AVERAGE(J61,J54,J47,J40,J33,J26,J19,J12,J5)</f>
        <v>11.2144444444444</v>
      </c>
    </row>
    <row r="70" customFormat="false" ht="13.8" hidden="false" customHeight="false" outlineLevel="0" collapsed="false">
      <c r="A70" s="2"/>
      <c r="B70" s="0" t="s">
        <v>29</v>
      </c>
      <c r="C70" s="0" t="n">
        <f aca="false">SUM(C60,C53,C46,C39,C32,C25,C18,C11,C4)</f>
        <v>127</v>
      </c>
      <c r="D70" s="0" t="n">
        <f aca="false">SUM(D60,D53,D46,D39,D32,D25,D18,D11,D4)</f>
        <v>118</v>
      </c>
      <c r="E70" s="0" t="n">
        <f aca="false">SUM(E60,E53,E46,E39,E32,E25,E18,E11,E4)</f>
        <v>137</v>
      </c>
      <c r="F70" s="0" t="n">
        <f aca="false">SUM(F60,F53,F46,F39,F32,F25,F18,F11,F4)</f>
        <v>0</v>
      </c>
      <c r="G70" s="0" t="n">
        <f aca="false">SUM(G60,G53,G46,G39,G32,G25,G18,G11,G4)</f>
        <v>110</v>
      </c>
      <c r="H70" s="0" t="n">
        <f aca="false">SUM(H60,H53,H46,H39,H32,H25,H18,H11,H4)</f>
        <v>0</v>
      </c>
      <c r="I70" s="0" t="n">
        <f aca="false">SUM(I60,I53,I46,I39,I32,I25,I18,I11,I4)</f>
        <v>125</v>
      </c>
      <c r="J70" s="0" t="n">
        <f aca="false">SUM(J60,J53,J46,J39,J32,J25,J18,J11,J4)</f>
        <v>132</v>
      </c>
    </row>
    <row r="74" customFormat="false" ht="13.8" hidden="false" customHeight="false" outlineLevel="0" collapsed="false">
      <c r="B74" s="0" t="s">
        <v>30</v>
      </c>
      <c r="C74" s="0" t="n">
        <f aca="false">AVERAGE(C59,C45,C17)</f>
        <v>0.957</v>
      </c>
      <c r="D74" s="0" t="n">
        <f aca="false">AVERAGE(D59,D45,D17)</f>
        <v>0.911666666666667</v>
      </c>
      <c r="E74" s="0" t="n">
        <f aca="false">AVERAGE(E59,E45,E17)</f>
        <v>0.956666666666667</v>
      </c>
      <c r="F74" s="0" t="n">
        <f aca="false">AVERAGE(F59,F45,F17)</f>
        <v>0.869666666666667</v>
      </c>
      <c r="G74" s="0" t="n">
        <f aca="false">AVERAGE(G59,G45,G17)</f>
        <v>0.87</v>
      </c>
      <c r="H74" s="0" t="n">
        <f aca="false">AVERAGE(H59,H45,H17)</f>
        <v>0.666666666666667</v>
      </c>
      <c r="I74" s="0" t="n">
        <f aca="false">AVERAGE(I59,I45,I17)</f>
        <v>0.957</v>
      </c>
      <c r="J74" s="0" t="n">
        <f aca="false">AVERAGE(J59,J45,J17)</f>
        <v>1</v>
      </c>
    </row>
    <row r="82" customFormat="false" ht="14.9" hidden="false" customHeight="false" outlineLevel="0" collapsed="false">
      <c r="C82" s="1" t="s">
        <v>4</v>
      </c>
      <c r="D82" s="1" t="s">
        <v>6</v>
      </c>
      <c r="E82" s="1" t="s">
        <v>8</v>
      </c>
      <c r="F82" s="1" t="s">
        <v>2</v>
      </c>
      <c r="G82" s="1" t="s">
        <v>5</v>
      </c>
      <c r="H82" s="1" t="s">
        <v>7</v>
      </c>
      <c r="I82" s="1" t="s">
        <v>1</v>
      </c>
      <c r="J82" s="1" t="s">
        <v>3</v>
      </c>
    </row>
    <row r="83" customFormat="false" ht="13.8" hidden="false" customHeight="false" outlineLevel="0" collapsed="false">
      <c r="B83" s="0" t="s">
        <v>31</v>
      </c>
      <c r="C83" s="3" t="n">
        <v>0</v>
      </c>
      <c r="D83" s="3" t="n">
        <v>0</v>
      </c>
      <c r="E83" s="3" t="n">
        <v>0.8532</v>
      </c>
      <c r="F83" s="3" t="n">
        <v>0.819688888888889</v>
      </c>
      <c r="G83" s="3" t="n">
        <v>0.751266666666667</v>
      </c>
      <c r="H83" s="3" t="n">
        <v>0.807555555555556</v>
      </c>
      <c r="I83" s="3" t="n">
        <v>0.829466666666667</v>
      </c>
      <c r="J83" s="3" t="n">
        <v>0.851022222222222</v>
      </c>
    </row>
    <row r="84" customFormat="false" ht="13.8" hidden="false" customHeight="false" outlineLevel="0" collapsed="false">
      <c r="B84" s="0" t="s">
        <v>32</v>
      </c>
      <c r="C84" s="3" t="n">
        <v>0.872111111111111</v>
      </c>
      <c r="D84" s="3" t="n">
        <v>0.736222222222222</v>
      </c>
      <c r="E84" s="3" t="n">
        <v>0.973333333333333</v>
      </c>
      <c r="F84" s="3" t="n">
        <v>0.934222222222222</v>
      </c>
      <c r="G84" s="3" t="n">
        <v>0.843222222222222</v>
      </c>
      <c r="H84" s="3" t="n">
        <v>0.937444444444444</v>
      </c>
      <c r="I84" s="3" t="n">
        <v>0.959111111111111</v>
      </c>
      <c r="J84" s="3" t="n">
        <v>0.927666666666667</v>
      </c>
    </row>
    <row r="85" customFormat="false" ht="13.8" hidden="false" customHeight="false" outlineLevel="0" collapsed="false">
      <c r="B85" s="0" t="s">
        <v>33</v>
      </c>
      <c r="C85" s="3" t="n">
        <v>1.38688888888889</v>
      </c>
      <c r="D85" s="3" t="n">
        <v>1.83044444444444</v>
      </c>
      <c r="E85" s="3" t="n">
        <v>11.2144444444444</v>
      </c>
      <c r="F85" s="3" t="n">
        <v>3.98355555555556</v>
      </c>
      <c r="G85" s="3" t="n">
        <v>2.64355555555556</v>
      </c>
      <c r="H85" s="3" t="n">
        <v>3.95966666666667</v>
      </c>
      <c r="I85" s="3" t="n">
        <v>51.2167777777778</v>
      </c>
      <c r="J85" s="3" t="n">
        <v>40.3344444444444</v>
      </c>
    </row>
    <row r="86" customFormat="false" ht="13.8" hidden="false" customHeight="false" outlineLevel="0" collapsed="false">
      <c r="B86" s="0" t="s">
        <v>34</v>
      </c>
      <c r="C86" s="3" t="n">
        <v>0</v>
      </c>
      <c r="D86" s="3" t="n">
        <v>0</v>
      </c>
      <c r="E86" s="3" t="n">
        <v>132</v>
      </c>
      <c r="F86" s="3" t="n">
        <v>118</v>
      </c>
      <c r="G86" s="3" t="n">
        <v>110</v>
      </c>
      <c r="H86" s="3" t="n">
        <v>125</v>
      </c>
      <c r="I86" s="3" t="n">
        <v>127</v>
      </c>
      <c r="J86" s="3" t="n">
        <v>137</v>
      </c>
    </row>
  </sheetData>
  <mergeCells count="10">
    <mergeCell ref="A2:A7"/>
    <mergeCell ref="A9:A14"/>
    <mergeCell ref="A16:A21"/>
    <mergeCell ref="A23:A28"/>
    <mergeCell ref="A30:A35"/>
    <mergeCell ref="A37:A42"/>
    <mergeCell ref="A44:A49"/>
    <mergeCell ref="A51:A56"/>
    <mergeCell ref="A58:A63"/>
    <mergeCell ref="A66:A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2026-01-10T02:35:43Z</dcterms:created>
  <dc:creator>openpyxl</dc:creator>
  <dc:description/>
  <dc:language>en-US</dc:language>
  <cp:lastModifiedBy/>
  <dcterms:modified xsi:type="dcterms:W3CDTF">2026-01-12T16:28:03Z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